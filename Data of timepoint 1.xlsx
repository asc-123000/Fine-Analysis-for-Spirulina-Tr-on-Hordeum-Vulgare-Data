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<sst xmlns="http://schemas.openxmlformats.org/spreadsheetml/2006/main" count="27" uniqueCount="24">
  <si>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 xml:space="preserve">Height in cm </t>
  </si>
  <si>
    <t xml:space="preserve">  YEB length in cm</t>
  </si>
  <si>
    <t xml:space="preserve">  Stem diameter in cm</t>
  </si>
  <si>
    <t xml:space="preserve"> Vegetative fresh weight in gm</t>
  </si>
  <si>
    <t xml:space="preserve"> Vegetative dry weight in gm</t>
  </si>
  <si>
    <t>No. of tillers /pot</t>
  </si>
  <si>
    <t>Ability to be filled</t>
  </si>
  <si>
    <t xml:space="preserve">1stC15 </t>
  </si>
  <si>
    <t>1stT15</t>
  </si>
  <si>
    <t>1stC22</t>
  </si>
  <si>
    <t>2ndC22</t>
  </si>
  <si>
    <t>1stT22</t>
  </si>
  <si>
    <t>2ndT22</t>
  </si>
  <si>
    <t>1stC29</t>
  </si>
  <si>
    <t>NA</t>
  </si>
  <si>
    <t>2ndC29</t>
  </si>
  <si>
    <t>1stT29</t>
  </si>
  <si>
    <t>2ndT29</t>
  </si>
  <si>
    <t>1stC30</t>
  </si>
  <si>
    <t>2ndC30</t>
  </si>
  <si>
    <t>1stT30</t>
  </si>
  <si>
    <t>2ndT30</t>
  </si>
  <si>
    <t>1stC32</t>
  </si>
  <si>
    <t>1stT32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</si>
</sst>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libri"/>
      <charset val="134"/>
      <scheme val="minor"/>
    </font>
    <font>
      <sz val="11"/>
      <name val="Calibri"/>
      <charset val="134"/>
    </font>
    <font>
      <sz val="12"/>
      <name val="Calibri"/>
      <charset val="134"/>
    </font>
    <font>
      <sz val="16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43" fontId="0" fillId="0" borderId="0" xfId="0" applyNumberFormat="1" applyFont="1" applyAlignment="1"/>
    <xf numFmtId="0" fontId="1" fillId="0" borderId="1" xfId="0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center"/>
    </xf>
    <xf numFmtId="43" fontId="1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43" fontId="0" fillId="0" borderId="0" xfId="0" applyNumberFormat="1" applyFont="1" applyAlignment="1">
      <alignment horizontal="center"/>
    </xf>
    <xf numFmtId="43" fontId="1" fillId="0" borderId="0" xfId="0" applyNumberFormat="1" applyFont="1" applyAlignment="1">
      <alignment horizontal="center" vertical="top"/>
    </xf>
    <xf numFmtId="43" fontId="1" fillId="0" borderId="0" xfId="0" applyNumberFormat="1" applyFont="1" applyAlignment="1">
      <alignment horizontal="left" vertical="center"/>
    </xf>
    <xf numFmtId="43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6"/>
  <sheetViews>
    <sheetView tabSelected="1" zoomScale="90" zoomScaleNormal="90" workbookViewId="0">
      <selection activeCell="G26" sqref="G26"/>
    </sheetView>
  </sheetViews>
  <sheetFormatPr defaultColWidth="14.3904761904762" defaultRowHeight="15" customHeight="1"/>
  <cols>
    <col min="1" max="1" width="10.2190476190476" customWidth="1"/>
    <col min="2" max="2" width="18.8285714285714" style="1" customWidth="1"/>
    <col min="3" max="3" width="20.847619047619" style="1" customWidth="1"/>
    <col min="4" max="4" width="25.152380952381" customWidth="1"/>
    <col min="5" max="5" width="23.2666666666667" style="1" customWidth="1"/>
    <col min="6" max="6" width="25.2380952380952" style="1" customWidth="1"/>
    <col min="7" max="7" width="24.8857142857143" style="1" customWidth="1"/>
    <col min="8" max="8" width="16.0095238095238" customWidth="1"/>
    <col min="9" max="9" width="17.8952380952381" style="1" customWidth="1"/>
    <col min="10" max="10" width="22.4666666666667" customWidth="1"/>
    <col min="11" max="11" width="21.3904761904762" customWidth="1"/>
  </cols>
  <sheetData>
    <row r="1" ht="15.75" spans="1:8">
      <c r="A1" s="2"/>
      <c r="B1" s="3" t="s">
        <v>0</v>
      </c>
      <c r="C1" s="4" t="s">
        <v>1</v>
      </c>
      <c r="D1" s="4" t="s">
        <v>2</v>
      </c>
      <c r="E1" s="2" t="s">
        <v>3</v>
      </c>
      <c r="F1" s="5" t="s">
        <v>4</v>
      </c>
      <c r="G1" s="2" t="s">
        <v>5</v>
      </c>
      <c r="H1" s="4" t="s">
        <v>6</v>
      </c>
    </row>
    <row r="2" ht="21" spans="1:8">
      <c r="A2" s="6" t="s">
        <v>7</v>
      </c>
      <c r="B2" s="4">
        <v>42.33</v>
      </c>
      <c r="C2" s="4">
        <f>AVERAGE(10,6,7)</f>
        <v>7.66666666666667</v>
      </c>
      <c r="D2" s="4">
        <v>0.433</v>
      </c>
      <c r="E2" s="2">
        <v>4</v>
      </c>
      <c r="F2" s="5">
        <v>0.38</v>
      </c>
      <c r="G2" s="2">
        <v>1</v>
      </c>
      <c r="H2" s="4">
        <f>(E2-F2)/E2%</f>
        <v>90.5</v>
      </c>
    </row>
    <row r="3" ht="21" spans="1:8">
      <c r="A3" s="6" t="s">
        <v>8</v>
      </c>
      <c r="B3" s="4">
        <v>46</v>
      </c>
      <c r="C3" s="4">
        <f>AVERAGE(9,13,10,9)</f>
        <v>10.25</v>
      </c>
      <c r="D3" s="4">
        <v>0.6</v>
      </c>
      <c r="E3" s="2">
        <v>3</v>
      </c>
      <c r="F3" s="5">
        <v>0.17</v>
      </c>
      <c r="G3" s="2">
        <v>1</v>
      </c>
      <c r="H3" s="4">
        <f>(E3-F3)/E3%</f>
        <v>94.3333333333333</v>
      </c>
    </row>
    <row r="4" ht="21" spans="1:8">
      <c r="A4" s="6" t="s">
        <v>9</v>
      </c>
      <c r="B4" s="4">
        <v>39.67</v>
      </c>
      <c r="C4" s="4">
        <f>AVERAGE(12,10,12)</f>
        <v>11.3333333333333</v>
      </c>
      <c r="D4" s="4">
        <v>0.4</v>
      </c>
      <c r="E4" s="2">
        <v>5</v>
      </c>
      <c r="F4" s="5">
        <v>0.14</v>
      </c>
      <c r="G4" s="2">
        <v>1</v>
      </c>
      <c r="H4" s="4">
        <f>(E4-F4)/E4%</f>
        <v>97.2</v>
      </c>
    </row>
    <row r="5" ht="21" spans="1:8">
      <c r="A5" s="6" t="s">
        <v>10</v>
      </c>
      <c r="B5" s="4">
        <v>45.33</v>
      </c>
      <c r="C5" s="4">
        <f>AVERAGE(11,12,13)</f>
        <v>12</v>
      </c>
      <c r="D5" s="4">
        <v>0.467</v>
      </c>
      <c r="E5" s="2">
        <v>4</v>
      </c>
      <c r="F5" s="5">
        <v>0.22</v>
      </c>
      <c r="G5" s="2">
        <v>1</v>
      </c>
      <c r="H5" s="4">
        <f>(E5-F5)/E5%</f>
        <v>94.5</v>
      </c>
    </row>
    <row r="6" ht="21" spans="1:8">
      <c r="A6" s="6" t="s">
        <v>11</v>
      </c>
      <c r="B6" s="4">
        <v>41.67</v>
      </c>
      <c r="C6" s="7">
        <f>AVERAGE(10,10,11)</f>
        <v>10.3333333333333</v>
      </c>
      <c r="D6" s="4">
        <v>0.333</v>
      </c>
      <c r="E6" s="2">
        <v>3</v>
      </c>
      <c r="F6" s="5">
        <v>0.2</v>
      </c>
      <c r="G6" s="2">
        <v>1</v>
      </c>
      <c r="H6" s="4">
        <f>(E6-F6)/E6%</f>
        <v>93.3333333333333</v>
      </c>
    </row>
    <row r="7" ht="21" spans="1:8">
      <c r="A7" s="6" t="s">
        <v>12</v>
      </c>
      <c r="B7" s="4">
        <v>40.67</v>
      </c>
      <c r="C7" s="7">
        <f>AVERAGE(12,10,10)</f>
        <v>10.6666666666667</v>
      </c>
      <c r="D7" s="4">
        <v>0.4</v>
      </c>
      <c r="E7" s="2">
        <v>3</v>
      </c>
      <c r="F7" s="5">
        <v>0.32</v>
      </c>
      <c r="G7" s="2">
        <v>1</v>
      </c>
      <c r="H7" s="4">
        <f>(E7-F7)/E7%</f>
        <v>89.3333333333333</v>
      </c>
    </row>
    <row r="8" ht="21" spans="1:8">
      <c r="A8" s="6" t="s">
        <v>13</v>
      </c>
      <c r="B8" s="4">
        <v>40</v>
      </c>
      <c r="C8" s="4">
        <v>8</v>
      </c>
      <c r="D8" s="4">
        <v>0.4</v>
      </c>
      <c r="E8" s="2" t="s">
        <v>14</v>
      </c>
      <c r="F8" s="5" t="s">
        <v>14</v>
      </c>
      <c r="G8" s="2">
        <v>1</v>
      </c>
      <c r="H8" s="4" t="s">
        <v>14</v>
      </c>
    </row>
    <row r="9" ht="21" spans="1:8">
      <c r="A9" s="6" t="s">
        <v>15</v>
      </c>
      <c r="B9" s="4">
        <v>49</v>
      </c>
      <c r="C9" s="4">
        <f>AVERAGE(15,14,15)</f>
        <v>14.6666666666667</v>
      </c>
      <c r="D9" s="4">
        <v>0.4</v>
      </c>
      <c r="E9" s="2">
        <v>4</v>
      </c>
      <c r="F9" s="5">
        <v>0.43</v>
      </c>
      <c r="G9" s="2">
        <v>1</v>
      </c>
      <c r="H9" s="4">
        <f t="shared" ref="H9:H17" si="0">(E9-F9)/E9%</f>
        <v>89.25</v>
      </c>
    </row>
    <row r="10" ht="21" spans="1:8">
      <c r="A10" s="6" t="s">
        <v>16</v>
      </c>
      <c r="B10" s="4">
        <v>37.33</v>
      </c>
      <c r="C10" s="7">
        <f>AVERAGE(13,15,13)</f>
        <v>13.6666666666667</v>
      </c>
      <c r="D10" s="4">
        <v>0.3</v>
      </c>
      <c r="E10" s="2">
        <v>5</v>
      </c>
      <c r="F10" s="5">
        <v>0.19</v>
      </c>
      <c r="G10" s="2">
        <v>1</v>
      </c>
      <c r="H10" s="4">
        <f t="shared" si="0"/>
        <v>96.2</v>
      </c>
    </row>
    <row r="11" ht="21" spans="1:8">
      <c r="A11" s="6" t="s">
        <v>17</v>
      </c>
      <c r="B11" s="4">
        <v>45.33</v>
      </c>
      <c r="C11" s="4">
        <f>AVERAGE(10,11,11,11)</f>
        <v>10.75</v>
      </c>
      <c r="D11" s="4">
        <v>0.467</v>
      </c>
      <c r="E11" s="2">
        <v>4</v>
      </c>
      <c r="F11" s="5">
        <v>0.44</v>
      </c>
      <c r="G11" s="2">
        <v>1</v>
      </c>
      <c r="H11" s="4">
        <f t="shared" si="0"/>
        <v>89</v>
      </c>
    </row>
    <row r="12" ht="21" spans="1:8">
      <c r="A12" s="6" t="s">
        <v>18</v>
      </c>
      <c r="B12" s="4">
        <v>36.33</v>
      </c>
      <c r="C12" s="4">
        <f>AVERAGE(8,10,12)</f>
        <v>10</v>
      </c>
      <c r="D12" s="4">
        <v>0.367</v>
      </c>
      <c r="E12" s="2">
        <v>1</v>
      </c>
      <c r="F12" s="5">
        <v>0.21</v>
      </c>
      <c r="G12" s="2">
        <v>1</v>
      </c>
      <c r="H12" s="4">
        <f t="shared" si="0"/>
        <v>79</v>
      </c>
    </row>
    <row r="13" ht="15.75" customHeight="1" spans="1:8">
      <c r="A13" s="6" t="s">
        <v>19</v>
      </c>
      <c r="B13" s="4">
        <v>45.33</v>
      </c>
      <c r="C13" s="4">
        <f>AVERAGE(13,13,15)</f>
        <v>13.6666666666667</v>
      </c>
      <c r="D13" s="4">
        <v>0.4</v>
      </c>
      <c r="E13" s="2">
        <v>4</v>
      </c>
      <c r="F13" s="5">
        <v>0.38</v>
      </c>
      <c r="G13" s="2">
        <v>1</v>
      </c>
      <c r="H13" s="4">
        <f t="shared" si="0"/>
        <v>90.5</v>
      </c>
    </row>
    <row r="14" ht="15.75" customHeight="1" spans="1:8">
      <c r="A14" s="6" t="s">
        <v>20</v>
      </c>
      <c r="B14" s="4">
        <v>37</v>
      </c>
      <c r="C14" s="4">
        <v>11.33</v>
      </c>
      <c r="D14" s="4">
        <v>0.325</v>
      </c>
      <c r="E14" s="2">
        <v>3</v>
      </c>
      <c r="F14" s="5">
        <v>0.25</v>
      </c>
      <c r="G14" s="2">
        <v>1</v>
      </c>
      <c r="H14" s="4">
        <f t="shared" si="0"/>
        <v>91.6666666666667</v>
      </c>
    </row>
    <row r="15" ht="15.75" customHeight="1" spans="1:8">
      <c r="A15" s="6" t="s">
        <v>21</v>
      </c>
      <c r="B15" s="4">
        <v>40.67</v>
      </c>
      <c r="C15" s="4">
        <v>9</v>
      </c>
      <c r="D15" s="4">
        <v>0.367</v>
      </c>
      <c r="E15" s="2">
        <v>3</v>
      </c>
      <c r="F15" s="5">
        <v>0.2</v>
      </c>
      <c r="G15" s="2">
        <v>1</v>
      </c>
      <c r="H15" s="4">
        <f t="shared" si="0"/>
        <v>93.3333333333333</v>
      </c>
    </row>
    <row r="16" ht="15.75" customHeight="1" spans="1:8">
      <c r="A16" s="6" t="s">
        <v>22</v>
      </c>
      <c r="B16" s="4">
        <v>47</v>
      </c>
      <c r="C16" s="4">
        <f>AVERAGE(15,12,16)</f>
        <v>14.3333333333333</v>
      </c>
      <c r="D16" s="4">
        <v>0.5</v>
      </c>
      <c r="E16" s="2">
        <v>8</v>
      </c>
      <c r="F16" s="5">
        <v>0.94</v>
      </c>
      <c r="G16" s="2">
        <v>1</v>
      </c>
      <c r="H16" s="4">
        <f t="shared" si="0"/>
        <v>88.25</v>
      </c>
    </row>
    <row r="17" ht="15.75" customHeight="1" spans="1:9">
      <c r="A17" s="6" t="s">
        <v>23</v>
      </c>
      <c r="B17" s="4">
        <v>43.33</v>
      </c>
      <c r="C17" s="4">
        <f>AVERAGE(11,12,13)</f>
        <v>12</v>
      </c>
      <c r="D17" s="4">
        <v>0.433</v>
      </c>
      <c r="E17" s="2">
        <v>3</v>
      </c>
      <c r="F17" s="5">
        <v>0.35</v>
      </c>
      <c r="G17" s="2">
        <v>1</v>
      </c>
      <c r="H17" s="4" t="s">
        <v>14</v>
      </c>
    </row>
    <row r="18" ht="15.75" customHeight="1" spans="1:9">
      <c r="G18" s="8"/>
      <c r="H18" s="9"/>
      <c r="I18" s="10"/>
    </row>
    <row r="19" ht="15.75" customHeight="1" spans="1:9">
      <c r="G19" s="8"/>
      <c r="H19" s="9"/>
      <c r="I19" s="10"/>
    </row>
    <row r="20" ht="15.75" customHeight="1" spans="1:9">
      <c r="G20" s="8"/>
      <c r="H20" s="9"/>
      <c r="I20" s="10"/>
    </row>
    <row r="21" ht="15.75" customHeight="1" spans="1:9">
      <c r="G21" s="8"/>
      <c r="H21" s="9"/>
      <c r="I21" s="10"/>
    </row>
    <row r="22" ht="15.75" customHeight="1" spans="1:9">
      <c r="G22" s="8"/>
      <c r="H22" s="9"/>
      <c r="I22" s="10"/>
    </row>
    <row r="23" ht="15.75" customHeight="1" spans="1:9">
      <c r="G23" s="8"/>
      <c r="H23" s="9"/>
      <c r="I23" s="10"/>
    </row>
    <row r="24" ht="15.75" customHeight="1" spans="1:9">
      <c r="G24" s="8"/>
      <c r="H24" s="9"/>
      <c r="I24" s="10"/>
    </row>
    <row r="25" ht="15.75" customHeight="1" spans="1:9">
      <c r="G25" s="8"/>
      <c r="H25" s="9"/>
      <c r="I25" s="10"/>
    </row>
    <row r="26" ht="15.75" customHeight="1" spans="1:9">
      <c r="G26" s="8"/>
      <c r="H26" s="9"/>
      <c r="I26" s="10"/>
    </row>
    <row r="27" ht="15.75" customHeight="1" spans="1:9">
      <c r="G27" s="8"/>
      <c r="H27" s="9"/>
      <c r="I27" s="10"/>
    </row>
    <row r="28" ht="15.75" customHeight="1" spans="1:9">
      <c r="G28" s="8"/>
      <c r="H28" s="9"/>
      <c r="I28" s="10"/>
    </row>
    <row r="29" ht="15.75" customHeight="1" spans="1:9">
      <c r="G29" s="8"/>
      <c r="H29" s="9"/>
      <c r="I29" s="10"/>
    </row>
    <row r="30" ht="15.75" customHeight="1" spans="1:9">
      <c r="G30" s="8"/>
      <c r="H30" s="9"/>
      <c r="I30" s="10"/>
    </row>
    <row r="31" ht="15.75" customHeight="1" spans="1:9">
      <c r="G31" s="8"/>
      <c r="H31" s="9"/>
      <c r="I31" s="10"/>
    </row>
    <row r="32" ht="15.75" customHeight="1" spans="1:9">
      <c r="G32" s="8"/>
      <c r="H32" s="9"/>
      <c r="I32" s="10"/>
    </row>
    <row r="33" ht="15.75" customHeight="1" spans="7:9">
      <c r="G33" s="8"/>
      <c r="H33" s="9"/>
      <c r="I33" s="10"/>
    </row>
    <row r="34" ht="15.75" customHeight="1" spans="7:9">
      <c r="G34" s="8"/>
      <c r="H34" s="9"/>
      <c r="I34" s="10"/>
    </row>
    <row r="35" ht="15.75" customHeight="1" spans="7:9">
      <c r="G35" s="8"/>
      <c r="H35" s="9"/>
      <c r="I35" s="10"/>
    </row>
    <row r="36" ht="15.75" customHeight="1" spans="7:9">
      <c r="G36" s="8"/>
      <c r="H36" s="9"/>
      <c r="I36" s="10"/>
    </row>
    <row r="37" ht="15.75" customHeight="1" spans="7:9">
      <c r="G37" s="8"/>
      <c r="H37" s="9"/>
      <c r="I37" s="10"/>
    </row>
    <row r="38" ht="15.75" customHeight="1" spans="7:9">
      <c r="G38" s="8"/>
      <c r="H38" s="9"/>
      <c r="I38" s="10"/>
    </row>
    <row r="39" ht="15.75" customHeight="1" spans="7:9">
      <c r="G39" s="8"/>
      <c r="H39" s="9"/>
      <c r="I39" s="10"/>
    </row>
    <row r="40" ht="15.75" customHeight="1" spans="7:9">
      <c r="G40" s="8"/>
      <c r="H40" s="9"/>
      <c r="I40" s="10"/>
    </row>
    <row r="41" ht="15.75" customHeight="1" spans="7:9">
      <c r="G41" s="8"/>
      <c r="H41" s="9"/>
      <c r="I41" s="10"/>
    </row>
    <row r="42" ht="15.75" customHeight="1" spans="7:9">
      <c r="G42" s="8"/>
      <c r="H42" s="9"/>
      <c r="I42" s="10"/>
    </row>
    <row r="43" ht="15.75" customHeight="1" spans="7:9">
      <c r="G43" s="8"/>
      <c r="H43" s="9"/>
      <c r="I43" s="10"/>
    </row>
    <row r="44" ht="15.75" customHeight="1" spans="7:9">
      <c r="G44" s="8"/>
      <c r="H44" s="9"/>
      <c r="I44" s="10"/>
    </row>
    <row r="45" ht="15.75" customHeight="1" spans="7:9">
      <c r="G45" s="8"/>
      <c r="H45" s="9"/>
      <c r="I45" s="10"/>
    </row>
    <row r="46" ht="15.75" customHeight="1" spans="7:9">
      <c r="G46" s="8"/>
      <c r="H46" s="9"/>
      <c r="I46" s="10"/>
    </row>
    <row r="47" ht="15.75" customHeight="1" spans="7:9">
      <c r="G47" s="8"/>
      <c r="H47" s="9"/>
      <c r="I47" s="10"/>
    </row>
    <row r="48" ht="15.75" customHeight="1" spans="7:9">
      <c r="G48" s="8"/>
      <c r="H48" s="9"/>
      <c r="I48" s="10"/>
    </row>
    <row r="49" ht="15.75" customHeight="1" spans="7:9">
      <c r="G49" s="8"/>
      <c r="H49" s="9"/>
      <c r="I49" s="10"/>
    </row>
    <row r="50" ht="15.75" customHeight="1" spans="7:9">
      <c r="G50" s="8"/>
      <c r="H50" s="9"/>
      <c r="I50" s="10"/>
    </row>
    <row r="51" ht="15.75" customHeight="1" spans="7:9">
      <c r="G51" s="8"/>
      <c r="H51" s="9"/>
      <c r="I51" s="10"/>
    </row>
    <row r="52" ht="15.75" customHeight="1" spans="7:9">
      <c r="G52" s="8"/>
      <c r="H52" s="9"/>
      <c r="I52" s="10"/>
    </row>
    <row r="53" ht="15.75" customHeight="1" spans="7:9">
      <c r="G53" s="8"/>
      <c r="H53" s="9"/>
      <c r="I53" s="10"/>
    </row>
    <row r="54" ht="15.75" customHeight="1" spans="7:9">
      <c r="G54" s="8"/>
      <c r="H54" s="9"/>
      <c r="I54" s="10"/>
    </row>
    <row r="55" ht="15.75" customHeight="1" spans="7:9">
      <c r="G55" s="8"/>
      <c r="H55" s="9"/>
      <c r="I55" s="10"/>
    </row>
    <row r="56" ht="15.75" customHeight="1" spans="7:9">
      <c r="G56" s="8"/>
      <c r="H56" s="9"/>
      <c r="I56" s="10"/>
    </row>
    <row r="57" ht="15.75" customHeight="1" spans="7:9">
      <c r="G57" s="8"/>
      <c r="H57" s="9"/>
      <c r="I57" s="10"/>
    </row>
    <row r="58" ht="15.75" customHeight="1" spans="7:9">
      <c r="G58" s="8"/>
      <c r="H58" s="9"/>
      <c r="I58" s="10"/>
    </row>
    <row r="59" ht="15.75" customHeight="1" spans="7:9">
      <c r="G59" s="8"/>
      <c r="H59" s="9"/>
      <c r="I59" s="10"/>
    </row>
    <row r="60" ht="15.75" customHeight="1" spans="7:9">
      <c r="G60" s="8"/>
      <c r="H60" s="9"/>
      <c r="I60" s="10"/>
    </row>
    <row r="61" ht="15.75" customHeight="1" spans="7:9">
      <c r="G61" s="8"/>
      <c r="H61" s="9"/>
      <c r="I61" s="10"/>
    </row>
    <row r="62" ht="15.75" customHeight="1" spans="7:9">
      <c r="G62" s="8"/>
      <c r="H62" s="9"/>
      <c r="I62" s="10"/>
    </row>
    <row r="63" ht="15.75" customHeight="1" spans="7:9">
      <c r="G63" s="8"/>
      <c r="H63" s="9"/>
      <c r="I63" s="10"/>
    </row>
    <row r="64" ht="15.75" customHeight="1" spans="7:9">
      <c r="G64" s="8"/>
      <c r="H64" s="9"/>
      <c r="I64" s="10"/>
    </row>
    <row r="65" ht="15.75" customHeight="1" spans="7:9">
      <c r="G65" s="8"/>
      <c r="H65" s="9"/>
      <c r="I65" s="10"/>
    </row>
    <row r="66" ht="15.75" customHeight="1" spans="7:9">
      <c r="G66" s="8"/>
      <c r="H66" s="9"/>
      <c r="I66" s="10"/>
    </row>
    <row r="67" ht="15.75" customHeight="1" spans="7:9">
      <c r="G67" s="8"/>
      <c r="H67" s="9"/>
      <c r="I67" s="10"/>
    </row>
    <row r="68" ht="15.75" customHeight="1" spans="7:9">
      <c r="G68" s="8"/>
      <c r="H68" s="9"/>
      <c r="I68" s="10"/>
    </row>
    <row r="69" ht="15.75" customHeight="1" spans="7:9">
      <c r="G69" s="8"/>
      <c r="H69" s="9"/>
      <c r="I69" s="10"/>
    </row>
    <row r="70" ht="15.75" customHeight="1" spans="7:9">
      <c r="G70" s="8"/>
      <c r="H70" s="9"/>
      <c r="I70" s="10"/>
    </row>
    <row r="71" ht="15.75" customHeight="1" spans="7:9">
      <c r="G71" s="8"/>
      <c r="H71" s="9"/>
      <c r="I71" s="10"/>
    </row>
    <row r="72" ht="15.75" customHeight="1" spans="7:9">
      <c r="G72" s="8"/>
      <c r="H72" s="9"/>
      <c r="I72" s="10"/>
    </row>
    <row r="73" ht="15.75" customHeight="1" spans="7:9">
      <c r="G73" s="8"/>
      <c r="H73" s="9"/>
      <c r="I73" s="10"/>
    </row>
    <row r="74" ht="15.75" customHeight="1" spans="7:9">
      <c r="G74" s="8"/>
      <c r="H74" s="9"/>
      <c r="I74" s="10"/>
    </row>
    <row r="75" ht="15.75" customHeight="1" spans="7:9">
      <c r="G75" s="8"/>
      <c r="H75" s="9"/>
      <c r="I75" s="10"/>
    </row>
    <row r="76" ht="15.75" customHeight="1" spans="7:9">
      <c r="G76" s="8"/>
      <c r="H76" s="9"/>
      <c r="I76" s="10"/>
    </row>
    <row r="77" ht="15.75" customHeight="1" spans="7:9">
      <c r="G77" s="8"/>
      <c r="H77" s="9"/>
      <c r="I77" s="10"/>
    </row>
    <row r="78" ht="15.75" customHeight="1" spans="7:9">
      <c r="G78" s="8"/>
      <c r="H78" s="9"/>
      <c r="I78" s="10"/>
    </row>
    <row r="79" ht="15.75" customHeight="1" spans="7:9">
      <c r="G79" s="8"/>
      <c r="H79" s="9"/>
      <c r="I79" s="10"/>
    </row>
    <row r="80" ht="15.75" customHeight="1" spans="7:9">
      <c r="G80" s="8"/>
      <c r="H80" s="9"/>
      <c r="I80" s="10"/>
    </row>
    <row r="81" ht="15.75" customHeight="1" spans="7:9">
      <c r="G81" s="8"/>
      <c r="H81" s="9"/>
      <c r="I81" s="10"/>
    </row>
    <row r="82" ht="15.75" customHeight="1" spans="7:9">
      <c r="G82" s="8"/>
      <c r="H82" s="9"/>
      <c r="I82" s="10"/>
    </row>
    <row r="83" ht="15.75" customHeight="1" spans="7:9">
      <c r="G83" s="8"/>
      <c r="H83" s="9"/>
      <c r="I83" s="10"/>
    </row>
    <row r="84" ht="15.75" customHeight="1" spans="7:9">
      <c r="G84" s="8"/>
      <c r="H84" s="9"/>
      <c r="I84" s="10"/>
    </row>
    <row r="85" ht="15.75" customHeight="1" spans="7:9">
      <c r="G85" s="8"/>
      <c r="H85" s="9"/>
      <c r="I85" s="10"/>
    </row>
    <row r="86" ht="15.75" customHeight="1" spans="7:9">
      <c r="G86" s="8"/>
      <c r="H86" s="9"/>
      <c r="I86" s="10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HAMED</dc:creator>
  <cp:lastModifiedBy>Ahmed Samir</cp:lastModifiedBy>
  <dcterms:created xsi:type="dcterms:W3CDTF">2026-01-22T15:02:00Z</dcterms:created>
  <dcterms:modified xsi:type="dcterms:W3CDTF">2026-05-26T17:43:51Z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F9B2996CD01642488A4D438121BCFE0D_12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