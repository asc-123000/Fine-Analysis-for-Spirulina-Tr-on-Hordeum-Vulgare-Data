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<sst xmlns="http://schemas.openxmlformats.org/spreadsheetml/2006/main" count="23" uniqueCount="23">
  <si>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Height in cm</t>
  </si>
  <si>
    <t xml:space="preserve">    YEB length in cm</t>
  </si>
  <si>
    <t xml:space="preserve">  Stem diameter in cm</t>
  </si>
  <si>
    <t xml:space="preserve">   Vegetative fresh weight in gm</t>
  </si>
  <si>
    <t xml:space="preserve"> Vegetative dry weight in gm</t>
  </si>
  <si>
    <t xml:space="preserve">  No. of tillers /pot</t>
  </si>
  <si>
    <t>Ability to be filled</t>
  </si>
  <si>
    <t>1stC15</t>
  </si>
  <si>
    <t>1stT15</t>
  </si>
  <si>
    <t>1stC22</t>
  </si>
  <si>
    <t>2ndC22</t>
  </si>
  <si>
    <t>1stT22</t>
  </si>
  <si>
    <t>2ndT22</t>
  </si>
  <si>
    <t>1stC29</t>
  </si>
  <si>
    <t>2ndC29</t>
  </si>
  <si>
    <t>1stT29</t>
  </si>
  <si>
    <t>2ndT29</t>
  </si>
  <si>
    <t>1stC30</t>
  </si>
  <si>
    <t>2ndC30</t>
  </si>
  <si>
    <t>1stT30</t>
  </si>
  <si>
    <t>2ndT30</t>
  </si>
  <si>
    <t>1stC32</t>
  </si>
  <si>
    <t>1stT32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</si>
</sst>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43" fontId="0" fillId="0" borderId="0" xfId="0" applyNumberFormat="1"/>
    <xf numFmtId="4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zoomScale="106" zoomScaleNormal="106" workbookViewId="0">
      <selection activeCell="H34" sqref="H34"/>
    </sheetView>
  </sheetViews>
  <sheetFormatPr defaultColWidth="9" defaultRowHeight="14.25" outlineLevelCol="7"/>
  <cols>
    <col min="2" max="2" width="13.1833333333333" style="1" customWidth="1"/>
    <col min="3" max="3" width="12.5083333333333" style="1" customWidth="1"/>
    <col min="4" max="4" width="14.525" style="1" customWidth="1"/>
    <col min="5" max="5" width="21.1166666666667" customWidth="1"/>
    <col min="6" max="6" width="18.025" customWidth="1"/>
    <col min="7" max="7" width="15.7416666666667" customWidth="1"/>
    <col min="8" max="8" width="14.3916666666667" customWidth="1"/>
  </cols>
  <sheetData>
    <row r="1" spans="1:8"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t="s">
        <v>6</v>
      </c>
    </row>
    <row r="2" spans="1:8">
      <c r="A2" t="s">
        <v>7</v>
      </c>
      <c r="B2" s="1">
        <f>AVERAGE(102,81,85,85)</f>
        <v>88.25</v>
      </c>
      <c r="C2" s="1">
        <f>AVERAGEA(31,14,43,63,43)</f>
        <v>38.8</v>
      </c>
      <c r="D2" s="1">
        <f>AVERAGE(0.6,0.5,0.4,0.6,0.5)</f>
        <v>0.52</v>
      </c>
      <c r="E2">
        <v>25</v>
      </c>
      <c r="F2">
        <v>6.31</v>
      </c>
      <c r="G2">
        <v>5</v>
      </c>
      <c r="H2" s="4">
        <v>0.7476</v>
      </c>
    </row>
    <row r="3" spans="1:8">
      <c r="A3" t="s">
        <v>8</v>
      </c>
      <c r="B3" s="1">
        <f>AVERAGE(80,63.5,68.5)</f>
        <v>70.6666666666667</v>
      </c>
      <c r="C3" s="1">
        <f>AVERAGEA(34,30,45,36,10,28,39)</f>
        <v>31.7142857142857</v>
      </c>
      <c r="D3" s="1">
        <f>AVERAGE(0.5,0.4,0.2,0.1,0.4,0.3,0.4,0.5)</f>
        <v>0.35</v>
      </c>
      <c r="E3">
        <v>14</v>
      </c>
      <c r="F3">
        <v>5.5</v>
      </c>
      <c r="G3">
        <v>12</v>
      </c>
      <c r="H3" s="4">
        <v>0.607</v>
      </c>
    </row>
    <row r="4" spans="1:8">
      <c r="A4" t="s">
        <v>9</v>
      </c>
      <c r="B4" s="1">
        <f>AVERAGE(93.2,83)</f>
        <v>88.1</v>
      </c>
      <c r="C4" s="1">
        <f>AVERAGE(42,44,38,43,31,54)</f>
        <v>42</v>
      </c>
      <c r="D4" s="1">
        <f>AVERAGE(0.6,0.4,0.5,0.6,0.4,0.5)</f>
        <v>0.5</v>
      </c>
      <c r="E4">
        <v>14</v>
      </c>
      <c r="F4">
        <v>5.6</v>
      </c>
      <c r="G4">
        <v>6</v>
      </c>
      <c r="H4" s="5">
        <v>0.6</v>
      </c>
    </row>
    <row r="5" spans="1:8">
      <c r="A5" t="s">
        <v>10</v>
      </c>
      <c r="B5" s="1">
        <f>AVERAGE(96.5,83)</f>
        <v>89.75</v>
      </c>
      <c r="C5" s="1">
        <f>AVERAGEA(42,54)</f>
        <v>48</v>
      </c>
      <c r="D5" s="1">
        <f>AVERAGE(0.4,0.5)</f>
        <v>0.45</v>
      </c>
      <c r="E5">
        <v>8</v>
      </c>
      <c r="F5">
        <v>4</v>
      </c>
      <c r="G5">
        <v>2</v>
      </c>
      <c r="H5" s="5">
        <v>0.5</v>
      </c>
    </row>
    <row r="6" spans="1:8">
      <c r="A6" t="s">
        <v>11</v>
      </c>
      <c r="B6" s="1">
        <f>AVERAGE(92,92.8)</f>
        <v>92.4</v>
      </c>
      <c r="C6" s="1">
        <f>AVERAGE(25,40,50,25,34)</f>
        <v>34.8</v>
      </c>
      <c r="D6" s="1">
        <f>AVERAGE(0.2,0.4,0.2,0.3,0.3)</f>
        <v>0.28</v>
      </c>
      <c r="E6">
        <v>12</v>
      </c>
      <c r="F6">
        <v>5.84</v>
      </c>
      <c r="G6">
        <v>6</v>
      </c>
      <c r="H6" s="4">
        <v>0.5133</v>
      </c>
    </row>
    <row r="7" spans="1:8">
      <c r="A7" t="s">
        <v>12</v>
      </c>
      <c r="B7" s="1">
        <f>AVERAGE(86.5,84)</f>
        <v>85.25</v>
      </c>
      <c r="C7" s="1">
        <f>AVERAGEA(45,45)</f>
        <v>45</v>
      </c>
      <c r="D7" s="1">
        <f>AVERAGE(0.4,0.3)</f>
        <v>0.35</v>
      </c>
      <c r="E7">
        <v>4</v>
      </c>
      <c r="F7">
        <v>1.85</v>
      </c>
      <c r="G7">
        <v>2</v>
      </c>
      <c r="H7" s="4">
        <v>0.5375</v>
      </c>
    </row>
    <row r="8" spans="1:8">
      <c r="A8" t="s">
        <v>13</v>
      </c>
      <c r="B8" s="1">
        <f>AVERAGE(90,94)</f>
        <v>92</v>
      </c>
      <c r="C8" s="1">
        <f>AVERAGEA(63,46)</f>
        <v>54.5</v>
      </c>
      <c r="D8" s="1">
        <f>AVERAGE(0.6,0.5)</f>
        <v>0.55</v>
      </c>
      <c r="E8">
        <v>17</v>
      </c>
      <c r="F8">
        <v>13.46</v>
      </c>
      <c r="G8">
        <v>2</v>
      </c>
      <c r="H8" s="4">
        <v>0.2082</v>
      </c>
    </row>
    <row r="9" spans="1:8">
      <c r="A9" t="s">
        <v>14</v>
      </c>
      <c r="B9" s="1">
        <f>AVERAGEA(93.5,101)</f>
        <v>97.25</v>
      </c>
      <c r="C9" s="1">
        <f>AVERAGE(48,66)</f>
        <v>57</v>
      </c>
      <c r="D9" s="1">
        <v>0.5</v>
      </c>
      <c r="E9">
        <v>20</v>
      </c>
      <c r="F9">
        <v>15.48</v>
      </c>
      <c r="G9">
        <v>2</v>
      </c>
      <c r="H9" s="4">
        <v>0.226</v>
      </c>
    </row>
    <row r="10" spans="1:8">
      <c r="A10" t="s">
        <v>15</v>
      </c>
      <c r="B10" s="1">
        <f>AVERAGEA(62,64,73)</f>
        <v>66.3333333333333</v>
      </c>
      <c r="C10" s="1">
        <f>AVERAGE(35,36,40,41,43)</f>
        <v>39</v>
      </c>
      <c r="D10" s="1">
        <f>AVERAGE(0.3,0.3,0.2,0.2,0.3)</f>
        <v>0.26</v>
      </c>
      <c r="E10">
        <v>4</v>
      </c>
      <c r="F10">
        <v>2.33</v>
      </c>
      <c r="G10">
        <v>3</v>
      </c>
      <c r="H10" s="4">
        <v>0.4175</v>
      </c>
    </row>
    <row r="11" spans="1:8">
      <c r="A11" t="s">
        <v>16</v>
      </c>
      <c r="B11" s="1">
        <f>AVERAGEA(94.5,99)</f>
        <v>96.75</v>
      </c>
      <c r="C11" s="1">
        <f>AVERAGEA(60,58,60,28,48)</f>
        <v>50.8</v>
      </c>
      <c r="D11" s="1">
        <f>AVERAGE(0.4,0.5,0.4,0.3,0.5)</f>
        <v>0.42</v>
      </c>
      <c r="E11">
        <v>12</v>
      </c>
      <c r="F11">
        <v>6.7</v>
      </c>
      <c r="G11">
        <v>5</v>
      </c>
      <c r="H11" s="4">
        <v>0.4417</v>
      </c>
    </row>
    <row r="12" spans="1:8">
      <c r="A12" t="s">
        <v>17</v>
      </c>
      <c r="B12" s="1">
        <f>AVERAGE(81.5,113.5)</f>
        <v>97.5</v>
      </c>
      <c r="C12" s="1">
        <f>AVERAGE(49,50)</f>
        <v>49.5</v>
      </c>
      <c r="D12" s="1">
        <f>AVERAGE(0.5,0.4)</f>
        <v>0.45</v>
      </c>
      <c r="E12">
        <v>10</v>
      </c>
      <c r="F12">
        <v>6.22</v>
      </c>
      <c r="G12">
        <v>2</v>
      </c>
      <c r="H12" s="4">
        <v>0.378</v>
      </c>
    </row>
    <row r="13" spans="1:8">
      <c r="A13" t="s">
        <v>18</v>
      </c>
      <c r="B13" s="1">
        <f>AVERAGE(74,63)</f>
        <v>68.5</v>
      </c>
      <c r="C13" s="1">
        <f>AVERAGEA(51,38,38)</f>
        <v>42.3333333333333</v>
      </c>
      <c r="D13" s="1">
        <f>AVERAGE(0.3,0.3,0.4)</f>
        <v>0.333333333333333</v>
      </c>
      <c r="E13">
        <v>7</v>
      </c>
      <c r="F13">
        <v>4.2</v>
      </c>
      <c r="G13">
        <v>3</v>
      </c>
      <c r="H13" s="5">
        <v>0.4</v>
      </c>
    </row>
    <row r="14" spans="1:8">
      <c r="A14" t="s">
        <v>19</v>
      </c>
      <c r="B14" s="1">
        <f>AVERAGE(69.5,69.5,68)</f>
        <v>69</v>
      </c>
      <c r="C14" s="1">
        <f>AVERAGE(38,39,41,41)</f>
        <v>39.75</v>
      </c>
      <c r="D14" s="1">
        <f>AVERAGE(0.5,0.3,0.3,0.2)</f>
        <v>0.325</v>
      </c>
      <c r="E14">
        <v>8</v>
      </c>
      <c r="F14">
        <v>4.2</v>
      </c>
      <c r="G14">
        <v>3</v>
      </c>
      <c r="H14" s="5">
        <v>0.475</v>
      </c>
    </row>
    <row r="15" spans="1:8">
      <c r="A15" t="s">
        <v>20</v>
      </c>
      <c r="B15" s="1">
        <f>AVERAGE(72.5,77.5)</f>
        <v>75</v>
      </c>
      <c r="C15" s="1">
        <f>AVERAGE(41,44)</f>
        <v>42.5</v>
      </c>
      <c r="D15" s="1">
        <f>AVERAGEA(0.5,0.4)</f>
        <v>0.45</v>
      </c>
      <c r="E15">
        <v>8</v>
      </c>
      <c r="F15">
        <v>3.47</v>
      </c>
      <c r="G15">
        <v>3</v>
      </c>
      <c r="H15" s="4">
        <v>0.566</v>
      </c>
    </row>
    <row r="16" spans="1:8">
      <c r="A16" t="s">
        <v>21</v>
      </c>
      <c r="B16" s="1">
        <f>AVERAGE(98.5,85,84.5)</f>
        <v>89.3333333333333</v>
      </c>
      <c r="C16" s="1">
        <f>AVERAGE(52,21,47,48)</f>
        <v>42</v>
      </c>
      <c r="D16" s="1">
        <f>AVERAGE(0.5,0.4,0.2,0.5)</f>
        <v>0.4</v>
      </c>
      <c r="E16">
        <v>4</v>
      </c>
      <c r="F16">
        <v>3.1</v>
      </c>
      <c r="G16">
        <v>4</v>
      </c>
      <c r="H16" s="4">
        <v>0.225</v>
      </c>
    </row>
    <row r="17" spans="1:8">
      <c r="A17" t="s">
        <v>22</v>
      </c>
      <c r="B17" s="1">
        <f>AVERAGE(79.5,78)</f>
        <v>78.75</v>
      </c>
      <c r="C17" s="1">
        <f>AVERAGE(38,39,39)</f>
        <v>38.6666666666667</v>
      </c>
      <c r="D17" s="1">
        <f>AVERAGE(0.3,0.3,0.3)</f>
        <v>0.3</v>
      </c>
      <c r="E17">
        <v>4</v>
      </c>
      <c r="F17">
        <v>2.71</v>
      </c>
      <c r="G17">
        <v>3</v>
      </c>
      <c r="H17" s="4">
        <v>0.3225</v>
      </c>
    </row>
    <row r="18" ht="13.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محى الدين فتحى على جواد</dc:creator>
  <cp:lastModifiedBy>Ahmed Samir</cp:lastModifiedBy>
  <dcterms:created xsi:type="dcterms:W3CDTF">2026-01-05T17:15:00Z</dcterms:created>
  <dcterms:modified xsi:type="dcterms:W3CDTF">2026-05-26T17:43:49Z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D7187517361E4C68932AAB9649EEDFB6_12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